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Day tours" sheetId="3" state="visible" r:id="rId5"/>
    <sheet name="Cruises &amp; multi-day" sheetId="4" state="visible" r:id="rId6"/>
    <sheet name="Ros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<sst xmlns="http://schemas.openxmlformats.org/spreadsheetml/2006/main" count="199" uniqueCount="116">
  <si>
    <t xml:space="preserve">Sawa rate card</t>
  </si>
  <si>
    <t xml:space="preserve">What this is</t>
  </si>
  <si>
    <t xml:space="preserve">Schedule 2 of the Operator Supply Agreement and Schedule 1 of the Agency Reseller Agreement. One row per product.</t>
  </si>
  <si>
    <t xml:space="preserve">How to fill it in</t>
  </si>
  <si>
    <t xml:space="preserve">Yellow cells with blue text are inputs. Everything else is calculated: don't overwrite it.</t>
  </si>
  <si>
    <t xml:space="preserve">Amounts are in the currency set on the Assumptions sheet.</t>
  </si>
  <si>
    <t xml:space="preserve">The first row on each product sheet (shaded, marked EXAMPLE) uses illustrative numbers to show the formulas working. Delete or overwrite it once real rows are filled.</t>
  </si>
  <si>
    <t xml:space="preserve">How operators are paid</t>
  </si>
  <si>
    <t xml:space="preserve">Day tours and one-way road tours: a departure fee by group size (4–6, 7–9, 10–12 travellers) plus a per-traveller amount (tickets, meals, other per-person costs).</t>
  </si>
  <si>
    <t xml:space="preserve">Cruises and multi-day tours: per-traveller land services, per-room amounts by occupancy for the whole trip, and a departure fee by group size for guide and transport.</t>
  </si>
  <si>
    <t xml:space="preserve">What the checks show</t>
  </si>
  <si>
    <t xml:space="preserve">Sawa margin columns show what Sawa keeps in three scenarios, after operator costs, agency commission and payment fees.</t>
  </si>
  <si>
    <t xml:space="preserve">"Loss at 4?" flags any product where Sawa loses money on a minimum departure of four travellers booked direct.</t>
  </si>
  <si>
    <t xml:space="preserve">On the cruise and multi-day sheet, "Cost of single promise" shows what the no-single-supplement promise costs Sawa when two solo travellers can't be paired.</t>
  </si>
  <si>
    <t xml:space="preserve">Catalogue notes</t>
  </si>
  <si>
    <t xml:space="preserve">#2 and #3 compete with #1 for the same traveller: review before launch. #14 and #15 are near-duplicates: keep one.</t>
  </si>
  <si>
    <t xml:space="preserve">Title fix: #13 should read "Temples of Ramesses II &amp; Nefertari".</t>
  </si>
  <si>
    <t xml:space="preserve">Assumptions</t>
  </si>
  <si>
    <t xml:space="preserve">Assumption</t>
  </si>
  <si>
    <t xml:space="preserve">Value</t>
  </si>
  <si>
    <t xml:space="preserve">Note</t>
  </si>
  <si>
    <t xml:space="preserve">Currency</t>
  </si>
  <si>
    <t xml:space="preserve">USD</t>
  </si>
  <si>
    <t xml:space="preserve">Replace with the currency you agree with operators (clause 9.4).</t>
  </si>
  <si>
    <t xml:space="preserve">Payment processing fee (% of retail)</t>
  </si>
  <si>
    <t xml:space="preserve">Placeholder. Replace with your payment provider's actual rate.</t>
  </si>
  <si>
    <t xml:space="preserve">Scenario B: direct seats</t>
  </si>
  <si>
    <t xml:space="preserve">Of 8 travellers</t>
  </si>
  <si>
    <t xml:space="preserve">Scenario B: agency seats</t>
  </si>
  <si>
    <t xml:space="preserve">Scenario C: direct seats</t>
  </si>
  <si>
    <t xml:space="preserve">Of 12 travellers</t>
  </si>
  <si>
    <t xml:space="preserve">Scenario C: agency seats</t>
  </si>
  <si>
    <t xml:space="preserve">Day tours and one-way road tours</t>
  </si>
  <si>
    <t xml:space="preserve">#</t>
  </si>
  <si>
    <t xml:space="preserve">Product</t>
  </si>
  <si>
    <t xml:space="preserve">Type</t>
  </si>
  <si>
    <t xml:space="preserve">Base</t>
  </si>
  <si>
    <t xml:space="preserve">Frequency</t>
  </si>
  <si>
    <t xml:space="preserve">Retail price per seat</t>
  </si>
  <si>
    <t xml:space="preserve">Per-traveller amount</t>
  </si>
  <si>
    <t xml:space="preserve">Departure fee 4–6</t>
  </si>
  <si>
    <t xml:space="preserve">Departure fee 7–9</t>
  </si>
  <si>
    <t xml:space="preserve">Departure fee 10–12</t>
  </si>
  <si>
    <t xml:space="preserve">Agency commission per seat</t>
  </si>
  <si>
    <t xml:space="preserve">Sawa margin A: 4 direct</t>
  </si>
  <si>
    <t xml:space="preserve">Sawa margin B: 8 (5 direct, 3 agency)</t>
  </si>
  <si>
    <t xml:space="preserve">Sawa margin C: 12 (6 direct, 6 agency)</t>
  </si>
  <si>
    <t xml:space="preserve">Loss at 4?</t>
  </si>
  <si>
    <t xml:space="preserve">Notes</t>
  </si>
  <si>
    <t xml:space="preserve">EX</t>
  </si>
  <si>
    <t xml:space="preserve">EXAMPLE (illustrative numbers)</t>
  </si>
  <si>
    <t xml:space="preserve">Day tour</t>
  </si>
  <si>
    <t xml:space="preserve">Aswan</t>
  </si>
  <si>
    <t xml:space="preserve">Daily</t>
  </si>
  <si>
    <t xml:space="preserve">Illustrative only; not a real rate</t>
  </si>
  <si>
    <t xml:space="preserve">Giza Pyramids, Sphinx &amp; the Grand Egyptian Museum</t>
  </si>
  <si>
    <t xml:space="preserve">Cairo</t>
  </si>
  <si>
    <t xml:space="preserve">Giza Uncovered: Pyramids, Sphinx &amp; Stories</t>
  </si>
  <si>
    <t xml:space="preserve">Review</t>
  </si>
  <si>
    <t xml:space="preserve">Competes with #1</t>
  </si>
  <si>
    <t xml:space="preserve">Secrets of the Grand Egyptian Museum</t>
  </si>
  <si>
    <t xml:space="preserve">Memphis, Saqqara &amp; Dahshur: Birth of the Pyramid</t>
  </si>
  <si>
    <t xml:space="preserve">3x weekly</t>
  </si>
  <si>
    <t xml:space="preserve">Cairo to Alexandria: the Mediterranean Day Tour</t>
  </si>
  <si>
    <t xml:space="preserve">2x weekly</t>
  </si>
  <si>
    <t xml:space="preserve">Fayoum Oasis, Meidum &amp; Hawara Pyramids</t>
  </si>
  <si>
    <t xml:space="preserve">Weekly</t>
  </si>
  <si>
    <t xml:space="preserve">Whale Valley &amp; Wadi El Rayan: Fayoum Desert Safari</t>
  </si>
  <si>
    <t xml:space="preserve">4x4: fee by vehicles needed</t>
  </si>
  <si>
    <t xml:space="preserve">Full Day Minya Archaeological Tour</t>
  </si>
  <si>
    <t xml:space="preserve">Weekly / on request</t>
  </si>
  <si>
    <t xml:space="preserve">Longest day; lowest likely demand</t>
  </si>
  <si>
    <t xml:space="preserve">Luxor in Depth: East &amp; West Bank Full Day</t>
  </si>
  <si>
    <t xml:space="preserve">Luxor</t>
  </si>
  <si>
    <t xml:space="preserve">The Grand West Bank: Tombs, Temples &amp; Deir el-Medina</t>
  </si>
  <si>
    <t xml:space="preserve">Dendera &amp; Abydos: the Far Temples North of Luxor</t>
  </si>
  <si>
    <t xml:space="preserve">Aswan Highlights: Unfinished Obelisk, High Dam &amp; Philae</t>
  </si>
  <si>
    <t xml:space="preserve">Aswan to Abu Simbel: Temples of Ramesses II &amp; Nefertari</t>
  </si>
  <si>
    <t xml:space="preserve">Title typo fixed</t>
  </si>
  <si>
    <t xml:space="preserve">Luxor to Aswan: Edfu &amp; Kom Ombo Temple Road</t>
  </si>
  <si>
    <t xml:space="preserve">One-way road tour</t>
  </si>
  <si>
    <t xml:space="preserve">Luxor → Aswan</t>
  </si>
  <si>
    <t xml:space="preserve">Merge</t>
  </si>
  <si>
    <t xml:space="preserve">Near-duplicate of #15</t>
  </si>
  <si>
    <t xml:space="preserve">Luxor to Aswan: Esna, Edfu &amp; Kom Ombo Temple Road</t>
  </si>
  <si>
    <t xml:space="preserve">Kom Ombo, Edfu &amp; Esna: Downriver from Aswan to Luxor</t>
  </si>
  <si>
    <t xml:space="preserve">Aswan → Luxor</t>
  </si>
  <si>
    <t xml:space="preserve">Cruises and multi-day tours</t>
  </si>
  <si>
    <t xml:space="preserve">Departure pattern</t>
  </si>
  <si>
    <t xml:space="preserve">GoAhead deadline (days before)</t>
  </si>
  <si>
    <t xml:space="preserve">Retail per person (twin share)</t>
  </si>
  <si>
    <t xml:space="preserve">Land services per traveller</t>
  </si>
  <si>
    <t xml:space="preserve">Room/cabin per trip: twin (per room)</t>
  </si>
  <si>
    <t xml:space="preserve">Room/cabin per trip: single (per room)</t>
  </si>
  <si>
    <t xml:space="preserve">Sawa margin A: 4 direct, 2 twin rooms</t>
  </si>
  <si>
    <t xml:space="preserve">Sawa margin B: 4 direct, 1 twin + 2 singles</t>
  </si>
  <si>
    <t xml:space="preserve">Cost of single promise</t>
  </si>
  <si>
    <t xml:space="preserve">Cruise</t>
  </si>
  <si>
    <t xml:space="preserve">Ship sailing days</t>
  </si>
  <si>
    <t xml:space="preserve">Nile Discovery: 4-Day Cruise from Aswan to Luxor</t>
  </si>
  <si>
    <t xml:space="preserve">Nile Majesty: 5-Day River Cruise from Luxor</t>
  </si>
  <si>
    <t xml:space="preserve">Cairo and Luxor 4-Day Discovery</t>
  </si>
  <si>
    <t xml:space="preserve">Multi-day</t>
  </si>
  <si>
    <t xml:space="preserve">Egypt in Depth: 9-Day Nile Cruise &amp; Cairo</t>
  </si>
  <si>
    <t xml:space="preserve">Fortnightly</t>
  </si>
  <si>
    <t xml:space="preserve">Egypt End to End: Cairo, Nile Cruise &amp; Hurghada, 12 Days</t>
  </si>
  <si>
    <t xml:space="preserve">Beach nights: solo pairing hardest here</t>
  </si>
  <si>
    <t xml:space="preserve">Roster template (Schedule 3)</t>
  </si>
  <si>
    <t xml:space="preserve">Enter the operator code for each product and weekday. Leave blank if the product does not run that day.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</si>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</sst>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;\(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8EE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6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26.8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26.85" hidden="false" customHeight="false" outlineLevel="0" collapsed="false">
      <c r="A12" s="2" t="s">
        <v>8</v>
      </c>
    </row>
    <row r="13" customFormat="false" ht="26.8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26.8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26.8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4" t="s">
        <v>17</v>
      </c>
    </row>
    <row r="3" customFormat="false" ht="15" hidden="false" customHeight="false" outlineLevel="0" collapsed="false">
      <c r="A3" s="5" t="s">
        <v>18</v>
      </c>
      <c r="B3" s="5" t="s">
        <v>19</v>
      </c>
      <c r="C3" s="5" t="s">
        <v>20</v>
      </c>
    </row>
    <row r="4" customFormat="false" ht="15" hidden="false" customHeight="false" outlineLevel="0" collapsed="false">
      <c r="A4" s="6" t="s">
        <v>21</v>
      </c>
      <c r="B4" s="7" t="s">
        <v>22</v>
      </c>
      <c r="C4" s="6" t="s">
        <v>23</v>
      </c>
    </row>
    <row r="5" customFormat="false" ht="15" hidden="false" customHeight="false" outlineLevel="0" collapsed="false">
      <c r="A5" s="6" t="s">
        <v>24</v>
      </c>
      <c r="B5" s="8" t="n">
        <v>0.03</v>
      </c>
      <c r="C5" s="6" t="s">
        <v>25</v>
      </c>
    </row>
    <row r="6" customFormat="false" ht="15" hidden="false" customHeight="false" outlineLevel="0" collapsed="false">
      <c r="A6" s="6" t="s">
        <v>26</v>
      </c>
      <c r="B6" s="7" t="n">
        <v>5</v>
      </c>
      <c r="C6" s="6" t="s">
        <v>27</v>
      </c>
    </row>
    <row r="7" customFormat="false" ht="15" hidden="false" customHeight="false" outlineLevel="0" collapsed="false">
      <c r="A7" s="6" t="s">
        <v>28</v>
      </c>
      <c r="B7" s="7" t="n">
        <v>3</v>
      </c>
      <c r="C7" s="6" t="s">
        <v>27</v>
      </c>
    </row>
    <row r="8" customFormat="false" ht="15" hidden="false" customHeight="false" outlineLevel="0" collapsed="false">
      <c r="A8" s="6" t="s">
        <v>29</v>
      </c>
      <c r="B8" s="7" t="n">
        <v>6</v>
      </c>
      <c r="C8" s="6" t="s">
        <v>30</v>
      </c>
    </row>
    <row r="9" customFormat="false" ht="15" hidden="false" customHeight="false" outlineLevel="0" collapsed="false">
      <c r="A9" s="6" t="s">
        <v>31</v>
      </c>
      <c r="B9" s="7" t="n">
        <v>6</v>
      </c>
      <c r="C9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11" min="6" style="0" width="12"/>
    <col collapsed="false" customWidth="true" hidden="false" outlineLevel="0" max="12" min="12" style="0" width="14"/>
    <col collapsed="false" customWidth="true" hidden="false" outlineLevel="0" max="14" min="13" style="0" width="16"/>
    <col collapsed="false" customWidth="true" hidden="false" outlineLevel="0" max="15" min="15" style="0" width="9"/>
    <col collapsed="false" customWidth="true" hidden="false" outlineLevel="0" max="16" min="16" style="0" width="32"/>
  </cols>
  <sheetData>
    <row r="1" customFormat="false" ht="17.35" hidden="false" customHeight="false" outlineLevel="0" collapsed="false">
      <c r="A1" s="4" t="s">
        <v>32</v>
      </c>
    </row>
    <row r="3" customFormat="false" ht="48" hidden="false" customHeight="true" outlineLevel="0" collapsed="false">
      <c r="A3" s="9" t="s">
        <v>33</v>
      </c>
      <c r="B3" s="9" t="s">
        <v>34</v>
      </c>
      <c r="C3" s="9" t="s">
        <v>35</v>
      </c>
      <c r="D3" s="9" t="s">
        <v>36</v>
      </c>
      <c r="E3" s="9" t="s">
        <v>37</v>
      </c>
      <c r="F3" s="9" t="s">
        <v>38</v>
      </c>
      <c r="G3" s="9" t="s">
        <v>39</v>
      </c>
      <c r="H3" s="9" t="s">
        <v>40</v>
      </c>
      <c r="I3" s="9" t="s">
        <v>41</v>
      </c>
      <c r="J3" s="9" t="s">
        <v>42</v>
      </c>
      <c r="K3" s="9" t="s">
        <v>43</v>
      </c>
      <c r="L3" s="9" t="s">
        <v>44</v>
      </c>
      <c r="M3" s="9" t="s">
        <v>45</v>
      </c>
      <c r="N3" s="9" t="s">
        <v>46</v>
      </c>
      <c r="O3" s="9" t="s">
        <v>47</v>
      </c>
      <c r="P3" s="9" t="s">
        <v>48</v>
      </c>
    </row>
    <row r="4" customFormat="false" ht="15" hidden="false" customHeight="false" outlineLevel="0" collapsed="false">
      <c r="A4" s="10" t="s">
        <v>49</v>
      </c>
      <c r="B4" s="10" t="s">
        <v>50</v>
      </c>
      <c r="C4" s="10" t="s">
        <v>51</v>
      </c>
      <c r="D4" s="10" t="s">
        <v>52</v>
      </c>
      <c r="E4" s="10" t="s">
        <v>53</v>
      </c>
      <c r="F4" s="11" t="n">
        <v>95</v>
      </c>
      <c r="G4" s="11" t="n">
        <v>40</v>
      </c>
      <c r="H4" s="11" t="n">
        <v>150</v>
      </c>
      <c r="I4" s="11" t="n">
        <v>200</v>
      </c>
      <c r="J4" s="11" t="n">
        <v>250</v>
      </c>
      <c r="K4" s="11" t="n">
        <v>12</v>
      </c>
      <c r="L4" s="12" t="n">
        <f aca="false">IF(F4="","",4*F4-(4*G4+H4)-4*F4*Assumptions!$B$5)</f>
        <v>58.6</v>
      </c>
      <c r="M4" s="12" t="n">
        <f aca="false">IF(F4="","",(Assumptions!$B$6+Assumptions!$B$7)*F4-((Assumptions!$B$6+Assumptions!$B$7)*G4+I4)-Assumptions!$B$7*K4-(Assumptions!$B$6+Assumptions!$B$7)*F4*Assumptions!$B$5)</f>
        <v>181.2</v>
      </c>
      <c r="N4" s="12" t="n">
        <f aca="false">IF(F4="","",(Assumptions!$B$8+Assumptions!$B$9)*F4-((Assumptions!$B$8+Assumptions!$B$9)*G4+J4)-Assumptions!$B$9*K4-(Assumptions!$B$8+Assumptions!$B$9)*F4*Assumptions!$B$5)</f>
        <v>303.8</v>
      </c>
      <c r="O4" s="12" t="str">
        <f aca="false">IF(L4="","",IF(L4&lt;0,"LOSS","OK"))</f>
        <v>OK</v>
      </c>
      <c r="P4" s="10" t="s">
        <v>54</v>
      </c>
    </row>
    <row r="5" customFormat="false" ht="15" hidden="false" customHeight="false" outlineLevel="0" collapsed="false">
      <c r="A5" s="13" t="n">
        <v>1</v>
      </c>
      <c r="B5" s="13" t="s">
        <v>55</v>
      </c>
      <c r="C5" s="13" t="s">
        <v>51</v>
      </c>
      <c r="D5" s="13" t="s">
        <v>56</v>
      </c>
      <c r="E5" s="13" t="s">
        <v>53</v>
      </c>
      <c r="F5" s="11"/>
      <c r="G5" s="11"/>
      <c r="H5" s="11"/>
      <c r="I5" s="11"/>
      <c r="J5" s="11"/>
      <c r="K5" s="11"/>
      <c r="L5" s="14" t="str">
        <f aca="false">IF(F5="","",4*F5-(4*G5+H5)-4*F5*Assumptions!$B$5)</f>
        <v/>
      </c>
      <c r="M5" s="14" t="str">
        <f aca="false">IF(F5="","",(Assumptions!$B$6+Assumptions!$B$7)*F5-((Assumptions!$B$6+Assumptions!$B$7)*G5+I5)-Assumptions!$B$7*K5-(Assumptions!$B$6+Assumptions!$B$7)*F5*Assumptions!$B$5)</f>
        <v/>
      </c>
      <c r="N5" s="14" t="str">
        <f aca="false">IF(F5="","",(Assumptions!$B$8+Assumptions!$B$9)*F5-((Assumptions!$B$8+Assumptions!$B$9)*G5+J5)-Assumptions!$B$9*K5-(Assumptions!$B$8+Assumptions!$B$9)*F5*Assumptions!$B$5)</f>
        <v/>
      </c>
      <c r="O5" s="14" t="str">
        <f aca="false">IF(L5="","",IF(L5&lt;0,"LOSS","OK"))</f>
        <v/>
      </c>
      <c r="P5" s="13"/>
    </row>
    <row r="6" customFormat="false" ht="15" hidden="false" customHeight="false" outlineLevel="0" collapsed="false">
      <c r="A6" s="13" t="n">
        <v>2</v>
      </c>
      <c r="B6" s="13" t="s">
        <v>57</v>
      </c>
      <c r="C6" s="13" t="s">
        <v>51</v>
      </c>
      <c r="D6" s="13" t="s">
        <v>56</v>
      </c>
      <c r="E6" s="13" t="s">
        <v>58</v>
      </c>
      <c r="F6" s="11"/>
      <c r="G6" s="11"/>
      <c r="H6" s="11"/>
      <c r="I6" s="11"/>
      <c r="J6" s="11"/>
      <c r="K6" s="11"/>
      <c r="L6" s="14" t="str">
        <f aca="false">IF(F6="","",4*F6-(4*G6+H6)-4*F6*Assumptions!$B$5)</f>
        <v/>
      </c>
      <c r="M6" s="14" t="str">
        <f aca="false">IF(F6="","",(Assumptions!$B$6+Assumptions!$B$7)*F6-((Assumptions!$B$6+Assumptions!$B$7)*G6+I6)-Assumptions!$B$7*K6-(Assumptions!$B$6+Assumptions!$B$7)*F6*Assumptions!$B$5)</f>
        <v/>
      </c>
      <c r="N6" s="14" t="str">
        <f aca="false">IF(F6="","",(Assumptions!$B$8+Assumptions!$B$9)*F6-((Assumptions!$B$8+Assumptions!$B$9)*G6+J6)-Assumptions!$B$9*K6-(Assumptions!$B$8+Assumptions!$B$9)*F6*Assumptions!$B$5)</f>
        <v/>
      </c>
      <c r="O6" s="14" t="str">
        <f aca="false">IF(L6="","",IF(L6&lt;0,"LOSS","OK"))</f>
        <v/>
      </c>
      <c r="P6" s="13" t="s">
        <v>59</v>
      </c>
    </row>
    <row r="7" customFormat="false" ht="15" hidden="false" customHeight="false" outlineLevel="0" collapsed="false">
      <c r="A7" s="13" t="n">
        <v>3</v>
      </c>
      <c r="B7" s="13" t="s">
        <v>60</v>
      </c>
      <c r="C7" s="13" t="s">
        <v>51</v>
      </c>
      <c r="D7" s="13" t="s">
        <v>56</v>
      </c>
      <c r="E7" s="13" t="s">
        <v>58</v>
      </c>
      <c r="F7" s="11"/>
      <c r="G7" s="11"/>
      <c r="H7" s="11"/>
      <c r="I7" s="11"/>
      <c r="J7" s="11"/>
      <c r="K7" s="11"/>
      <c r="L7" s="14" t="str">
        <f aca="false">IF(F7="","",4*F7-(4*G7+H7)-4*F7*Assumptions!$B$5)</f>
        <v/>
      </c>
      <c r="M7" s="14" t="str">
        <f aca="false">IF(F7="","",(Assumptions!$B$6+Assumptions!$B$7)*F7-((Assumptions!$B$6+Assumptions!$B$7)*G7+I7)-Assumptions!$B$7*K7-(Assumptions!$B$6+Assumptions!$B$7)*F7*Assumptions!$B$5)</f>
        <v/>
      </c>
      <c r="N7" s="14" t="str">
        <f aca="false">IF(F7="","",(Assumptions!$B$8+Assumptions!$B$9)*F7-((Assumptions!$B$8+Assumptions!$B$9)*G7+J7)-Assumptions!$B$9*K7-(Assumptions!$B$8+Assumptions!$B$9)*F7*Assumptions!$B$5)</f>
        <v/>
      </c>
      <c r="O7" s="14" t="str">
        <f aca="false">IF(L7="","",IF(L7&lt;0,"LOSS","OK"))</f>
        <v/>
      </c>
      <c r="P7" s="13" t="s">
        <v>59</v>
      </c>
    </row>
    <row r="8" customFormat="false" ht="15" hidden="false" customHeight="false" outlineLevel="0" collapsed="false">
      <c r="A8" s="13" t="n">
        <v>4</v>
      </c>
      <c r="B8" s="13" t="s">
        <v>61</v>
      </c>
      <c r="C8" s="13" t="s">
        <v>51</v>
      </c>
      <c r="D8" s="13" t="s">
        <v>56</v>
      </c>
      <c r="E8" s="13" t="s">
        <v>62</v>
      </c>
      <c r="F8" s="11"/>
      <c r="G8" s="11"/>
      <c r="H8" s="11"/>
      <c r="I8" s="11"/>
      <c r="J8" s="11"/>
      <c r="K8" s="11"/>
      <c r="L8" s="14" t="str">
        <f aca="false">IF(F8="","",4*F8-(4*G8+H8)-4*F8*Assumptions!$B$5)</f>
        <v/>
      </c>
      <c r="M8" s="14" t="str">
        <f aca="false">IF(F8="","",(Assumptions!$B$6+Assumptions!$B$7)*F8-((Assumptions!$B$6+Assumptions!$B$7)*G8+I8)-Assumptions!$B$7*K8-(Assumptions!$B$6+Assumptions!$B$7)*F8*Assumptions!$B$5)</f>
        <v/>
      </c>
      <c r="N8" s="14" t="str">
        <f aca="false">IF(F8="","",(Assumptions!$B$8+Assumptions!$B$9)*F8-((Assumptions!$B$8+Assumptions!$B$9)*G8+J8)-Assumptions!$B$9*K8-(Assumptions!$B$8+Assumptions!$B$9)*F8*Assumptions!$B$5)</f>
        <v/>
      </c>
      <c r="O8" s="14" t="str">
        <f aca="false">IF(L8="","",IF(L8&lt;0,"LOSS","OK"))</f>
        <v/>
      </c>
      <c r="P8" s="13"/>
    </row>
    <row r="9" customFormat="false" ht="15" hidden="false" customHeight="false" outlineLevel="0" collapsed="false">
      <c r="A9" s="13" t="n">
        <v>5</v>
      </c>
      <c r="B9" s="13" t="s">
        <v>63</v>
      </c>
      <c r="C9" s="13" t="s">
        <v>51</v>
      </c>
      <c r="D9" s="13" t="s">
        <v>56</v>
      </c>
      <c r="E9" s="13" t="s">
        <v>64</v>
      </c>
      <c r="F9" s="11"/>
      <c r="G9" s="11"/>
      <c r="H9" s="11"/>
      <c r="I9" s="11"/>
      <c r="J9" s="11"/>
      <c r="K9" s="11"/>
      <c r="L9" s="14" t="str">
        <f aca="false">IF(F9="","",4*F9-(4*G9+H9)-4*F9*Assumptions!$B$5)</f>
        <v/>
      </c>
      <c r="M9" s="14" t="str">
        <f aca="false">IF(F9="","",(Assumptions!$B$6+Assumptions!$B$7)*F9-((Assumptions!$B$6+Assumptions!$B$7)*G9+I9)-Assumptions!$B$7*K9-(Assumptions!$B$6+Assumptions!$B$7)*F9*Assumptions!$B$5)</f>
        <v/>
      </c>
      <c r="N9" s="14" t="str">
        <f aca="false">IF(F9="","",(Assumptions!$B$8+Assumptions!$B$9)*F9-((Assumptions!$B$8+Assumptions!$B$9)*G9+J9)-Assumptions!$B$9*K9-(Assumptions!$B$8+Assumptions!$B$9)*F9*Assumptions!$B$5)</f>
        <v/>
      </c>
      <c r="O9" s="14" t="str">
        <f aca="false">IF(L9="","",IF(L9&lt;0,"LOSS","OK"))</f>
        <v/>
      </c>
      <c r="P9" s="13"/>
    </row>
    <row r="10" customFormat="false" ht="15" hidden="false" customHeight="false" outlineLevel="0" collapsed="false">
      <c r="A10" s="13" t="n">
        <v>6</v>
      </c>
      <c r="B10" s="13" t="s">
        <v>65</v>
      </c>
      <c r="C10" s="13" t="s">
        <v>51</v>
      </c>
      <c r="D10" s="13" t="s">
        <v>56</v>
      </c>
      <c r="E10" s="13" t="s">
        <v>66</v>
      </c>
      <c r="F10" s="11"/>
      <c r="G10" s="11"/>
      <c r="H10" s="11"/>
      <c r="I10" s="11"/>
      <c r="J10" s="11"/>
      <c r="K10" s="11"/>
      <c r="L10" s="14" t="str">
        <f aca="false">IF(F10="","",4*F10-(4*G10+H10)-4*F10*Assumptions!$B$5)</f>
        <v/>
      </c>
      <c r="M10" s="14" t="str">
        <f aca="false">IF(F10="","",(Assumptions!$B$6+Assumptions!$B$7)*F10-((Assumptions!$B$6+Assumptions!$B$7)*G10+I10)-Assumptions!$B$7*K10-(Assumptions!$B$6+Assumptions!$B$7)*F10*Assumptions!$B$5)</f>
        <v/>
      </c>
      <c r="N10" s="14" t="str">
        <f aca="false">IF(F10="","",(Assumptions!$B$8+Assumptions!$B$9)*F10-((Assumptions!$B$8+Assumptions!$B$9)*G10+J10)-Assumptions!$B$9*K10-(Assumptions!$B$8+Assumptions!$B$9)*F10*Assumptions!$B$5)</f>
        <v/>
      </c>
      <c r="O10" s="14" t="str">
        <f aca="false">IF(L10="","",IF(L10&lt;0,"LOSS","OK"))</f>
        <v/>
      </c>
      <c r="P10" s="13"/>
    </row>
    <row r="11" customFormat="false" ht="15" hidden="false" customHeight="false" outlineLevel="0" collapsed="false">
      <c r="A11" s="13" t="n">
        <v>7</v>
      </c>
      <c r="B11" s="13" t="s">
        <v>67</v>
      </c>
      <c r="C11" s="13" t="s">
        <v>51</v>
      </c>
      <c r="D11" s="13" t="s">
        <v>56</v>
      </c>
      <c r="E11" s="13" t="s">
        <v>66</v>
      </c>
      <c r="F11" s="11"/>
      <c r="G11" s="11"/>
      <c r="H11" s="11"/>
      <c r="I11" s="11"/>
      <c r="J11" s="11"/>
      <c r="K11" s="11"/>
      <c r="L11" s="14" t="str">
        <f aca="false">IF(F11="","",4*F11-(4*G11+H11)-4*F11*Assumptions!$B$5)</f>
        <v/>
      </c>
      <c r="M11" s="14" t="str">
        <f aca="false">IF(F11="","",(Assumptions!$B$6+Assumptions!$B$7)*F11-((Assumptions!$B$6+Assumptions!$B$7)*G11+I11)-Assumptions!$B$7*K11-(Assumptions!$B$6+Assumptions!$B$7)*F11*Assumptions!$B$5)</f>
        <v/>
      </c>
      <c r="N11" s="14" t="str">
        <f aca="false">IF(F11="","",(Assumptions!$B$8+Assumptions!$B$9)*F11-((Assumptions!$B$8+Assumptions!$B$9)*G11+J11)-Assumptions!$B$9*K11-(Assumptions!$B$8+Assumptions!$B$9)*F11*Assumptions!$B$5)</f>
        <v/>
      </c>
      <c r="O11" s="14" t="str">
        <f aca="false">IF(L11="","",IF(L11&lt;0,"LOSS","OK"))</f>
        <v/>
      </c>
      <c r="P11" s="13" t="s">
        <v>68</v>
      </c>
    </row>
    <row r="12" customFormat="false" ht="15" hidden="false" customHeight="false" outlineLevel="0" collapsed="false">
      <c r="A12" s="13" t="n">
        <v>8</v>
      </c>
      <c r="B12" s="13" t="s">
        <v>69</v>
      </c>
      <c r="C12" s="13" t="s">
        <v>51</v>
      </c>
      <c r="D12" s="13" t="s">
        <v>56</v>
      </c>
      <c r="E12" s="13" t="s">
        <v>70</v>
      </c>
      <c r="F12" s="11"/>
      <c r="G12" s="11"/>
      <c r="H12" s="11"/>
      <c r="I12" s="11"/>
      <c r="J12" s="11"/>
      <c r="K12" s="11"/>
      <c r="L12" s="14" t="str">
        <f aca="false">IF(F12="","",4*F12-(4*G12+H12)-4*F12*Assumptions!$B$5)</f>
        <v/>
      </c>
      <c r="M12" s="14" t="str">
        <f aca="false">IF(F12="","",(Assumptions!$B$6+Assumptions!$B$7)*F12-((Assumptions!$B$6+Assumptions!$B$7)*G12+I12)-Assumptions!$B$7*K12-(Assumptions!$B$6+Assumptions!$B$7)*F12*Assumptions!$B$5)</f>
        <v/>
      </c>
      <c r="N12" s="14" t="str">
        <f aca="false">IF(F12="","",(Assumptions!$B$8+Assumptions!$B$9)*F12-((Assumptions!$B$8+Assumptions!$B$9)*G12+J12)-Assumptions!$B$9*K12-(Assumptions!$B$8+Assumptions!$B$9)*F12*Assumptions!$B$5)</f>
        <v/>
      </c>
      <c r="O12" s="14" t="str">
        <f aca="false">IF(L12="","",IF(L12&lt;0,"LOSS","OK"))</f>
        <v/>
      </c>
      <c r="P12" s="13" t="s">
        <v>71</v>
      </c>
    </row>
    <row r="13" customFormat="false" ht="15" hidden="false" customHeight="false" outlineLevel="0" collapsed="false">
      <c r="A13" s="13" t="n">
        <v>9</v>
      </c>
      <c r="B13" s="13" t="s">
        <v>72</v>
      </c>
      <c r="C13" s="13" t="s">
        <v>51</v>
      </c>
      <c r="D13" s="13" t="s">
        <v>73</v>
      </c>
      <c r="E13" s="13" t="s">
        <v>53</v>
      </c>
      <c r="F13" s="11"/>
      <c r="G13" s="11"/>
      <c r="H13" s="11"/>
      <c r="I13" s="11"/>
      <c r="J13" s="11"/>
      <c r="K13" s="11"/>
      <c r="L13" s="14" t="str">
        <f aca="false">IF(F13="","",4*F13-(4*G13+H13)-4*F13*Assumptions!$B$5)</f>
        <v/>
      </c>
      <c r="M13" s="14" t="str">
        <f aca="false">IF(F13="","",(Assumptions!$B$6+Assumptions!$B$7)*F13-((Assumptions!$B$6+Assumptions!$B$7)*G13+I13)-Assumptions!$B$7*K13-(Assumptions!$B$6+Assumptions!$B$7)*F13*Assumptions!$B$5)</f>
        <v/>
      </c>
      <c r="N13" s="14" t="str">
        <f aca="false">IF(F13="","",(Assumptions!$B$8+Assumptions!$B$9)*F13-((Assumptions!$B$8+Assumptions!$B$9)*G13+J13)-Assumptions!$B$9*K13-(Assumptions!$B$8+Assumptions!$B$9)*F13*Assumptions!$B$5)</f>
        <v/>
      </c>
      <c r="O13" s="14" t="str">
        <f aca="false">IF(L13="","",IF(L13&lt;0,"LOSS","OK"))</f>
        <v/>
      </c>
      <c r="P13" s="13"/>
    </row>
    <row r="14" customFormat="false" ht="15" hidden="false" customHeight="false" outlineLevel="0" collapsed="false">
      <c r="A14" s="13" t="n">
        <v>10</v>
      </c>
      <c r="B14" s="13" t="s">
        <v>74</v>
      </c>
      <c r="C14" s="13" t="s">
        <v>51</v>
      </c>
      <c r="D14" s="13" t="s">
        <v>73</v>
      </c>
      <c r="E14" s="13" t="s">
        <v>62</v>
      </c>
      <c r="F14" s="11"/>
      <c r="G14" s="11"/>
      <c r="H14" s="11"/>
      <c r="I14" s="11"/>
      <c r="J14" s="11"/>
      <c r="K14" s="11"/>
      <c r="L14" s="14" t="str">
        <f aca="false">IF(F14="","",4*F14-(4*G14+H14)-4*F14*Assumptions!$B$5)</f>
        <v/>
      </c>
      <c r="M14" s="14" t="str">
        <f aca="false">IF(F14="","",(Assumptions!$B$6+Assumptions!$B$7)*F14-((Assumptions!$B$6+Assumptions!$B$7)*G14+I14)-Assumptions!$B$7*K14-(Assumptions!$B$6+Assumptions!$B$7)*F14*Assumptions!$B$5)</f>
        <v/>
      </c>
      <c r="N14" s="14" t="str">
        <f aca="false">IF(F14="","",(Assumptions!$B$8+Assumptions!$B$9)*F14-((Assumptions!$B$8+Assumptions!$B$9)*G14+J14)-Assumptions!$B$9*K14-(Assumptions!$B$8+Assumptions!$B$9)*F14*Assumptions!$B$5)</f>
        <v/>
      </c>
      <c r="O14" s="14" t="str">
        <f aca="false">IF(L14="","",IF(L14&lt;0,"LOSS","OK"))</f>
        <v/>
      </c>
      <c r="P14" s="13"/>
    </row>
    <row r="15" customFormat="false" ht="15" hidden="false" customHeight="false" outlineLevel="0" collapsed="false">
      <c r="A15" s="13" t="n">
        <v>11</v>
      </c>
      <c r="B15" s="13" t="s">
        <v>75</v>
      </c>
      <c r="C15" s="13" t="s">
        <v>51</v>
      </c>
      <c r="D15" s="13" t="s">
        <v>73</v>
      </c>
      <c r="E15" s="13" t="s">
        <v>64</v>
      </c>
      <c r="F15" s="11"/>
      <c r="G15" s="11"/>
      <c r="H15" s="11"/>
      <c r="I15" s="11"/>
      <c r="J15" s="11"/>
      <c r="K15" s="11"/>
      <c r="L15" s="14" t="str">
        <f aca="false">IF(F15="","",4*F15-(4*G15+H15)-4*F15*Assumptions!$B$5)</f>
        <v/>
      </c>
      <c r="M15" s="14" t="str">
        <f aca="false">IF(F15="","",(Assumptions!$B$6+Assumptions!$B$7)*F15-((Assumptions!$B$6+Assumptions!$B$7)*G15+I15)-Assumptions!$B$7*K15-(Assumptions!$B$6+Assumptions!$B$7)*F15*Assumptions!$B$5)</f>
        <v/>
      </c>
      <c r="N15" s="14" t="str">
        <f aca="false">IF(F15="","",(Assumptions!$B$8+Assumptions!$B$9)*F15-((Assumptions!$B$8+Assumptions!$B$9)*G15+J15)-Assumptions!$B$9*K15-(Assumptions!$B$8+Assumptions!$B$9)*F15*Assumptions!$B$5)</f>
        <v/>
      </c>
      <c r="O15" s="14" t="str">
        <f aca="false">IF(L15="","",IF(L15&lt;0,"LOSS","OK"))</f>
        <v/>
      </c>
      <c r="P15" s="13"/>
    </row>
    <row r="16" customFormat="false" ht="15" hidden="false" customHeight="false" outlineLevel="0" collapsed="false">
      <c r="A16" s="13" t="n">
        <v>12</v>
      </c>
      <c r="B16" s="13" t="s">
        <v>76</v>
      </c>
      <c r="C16" s="13" t="s">
        <v>51</v>
      </c>
      <c r="D16" s="13" t="s">
        <v>52</v>
      </c>
      <c r="E16" s="13" t="s">
        <v>53</v>
      </c>
      <c r="F16" s="11"/>
      <c r="G16" s="11"/>
      <c r="H16" s="11"/>
      <c r="I16" s="11"/>
      <c r="J16" s="11"/>
      <c r="K16" s="11"/>
      <c r="L16" s="14" t="str">
        <f aca="false">IF(F16="","",4*F16-(4*G16+H16)-4*F16*Assumptions!$B$5)</f>
        <v/>
      </c>
      <c r="M16" s="14" t="str">
        <f aca="false">IF(F16="","",(Assumptions!$B$6+Assumptions!$B$7)*F16-((Assumptions!$B$6+Assumptions!$B$7)*G16+I16)-Assumptions!$B$7*K16-(Assumptions!$B$6+Assumptions!$B$7)*F16*Assumptions!$B$5)</f>
        <v/>
      </c>
      <c r="N16" s="14" t="str">
        <f aca="false">IF(F16="","",(Assumptions!$B$8+Assumptions!$B$9)*F16-((Assumptions!$B$8+Assumptions!$B$9)*G16+J16)-Assumptions!$B$9*K16-(Assumptions!$B$8+Assumptions!$B$9)*F16*Assumptions!$B$5)</f>
        <v/>
      </c>
      <c r="O16" s="14" t="str">
        <f aca="false">IF(L16="","",IF(L16&lt;0,"LOSS","OK"))</f>
        <v/>
      </c>
      <c r="P16" s="13"/>
    </row>
    <row r="17" customFormat="false" ht="15" hidden="false" customHeight="false" outlineLevel="0" collapsed="false">
      <c r="A17" s="13" t="n">
        <v>13</v>
      </c>
      <c r="B17" s="13" t="s">
        <v>77</v>
      </c>
      <c r="C17" s="13" t="s">
        <v>51</v>
      </c>
      <c r="D17" s="13" t="s">
        <v>52</v>
      </c>
      <c r="E17" s="13" t="s">
        <v>53</v>
      </c>
      <c r="F17" s="11"/>
      <c r="G17" s="11"/>
      <c r="H17" s="11"/>
      <c r="I17" s="11"/>
      <c r="J17" s="11"/>
      <c r="K17" s="11"/>
      <c r="L17" s="14" t="str">
        <f aca="false">IF(F17="","",4*F17-(4*G17+H17)-4*F17*Assumptions!$B$5)</f>
        <v/>
      </c>
      <c r="M17" s="14" t="str">
        <f aca="false">IF(F17="","",(Assumptions!$B$6+Assumptions!$B$7)*F17-((Assumptions!$B$6+Assumptions!$B$7)*G17+I17)-Assumptions!$B$7*K17-(Assumptions!$B$6+Assumptions!$B$7)*F17*Assumptions!$B$5)</f>
        <v/>
      </c>
      <c r="N17" s="14" t="str">
        <f aca="false">IF(F17="","",(Assumptions!$B$8+Assumptions!$B$9)*F17-((Assumptions!$B$8+Assumptions!$B$9)*G17+J17)-Assumptions!$B$9*K17-(Assumptions!$B$8+Assumptions!$B$9)*F17*Assumptions!$B$5)</f>
        <v/>
      </c>
      <c r="O17" s="14" t="str">
        <f aca="false">IF(L17="","",IF(L17&lt;0,"LOSS","OK"))</f>
        <v/>
      </c>
      <c r="P17" s="13" t="s">
        <v>78</v>
      </c>
    </row>
    <row r="18" customFormat="false" ht="15" hidden="false" customHeight="false" outlineLevel="0" collapsed="false">
      <c r="A18" s="13" t="n">
        <v>14</v>
      </c>
      <c r="B18" s="13" t="s">
        <v>79</v>
      </c>
      <c r="C18" s="13" t="s">
        <v>80</v>
      </c>
      <c r="D18" s="13" t="s">
        <v>81</v>
      </c>
      <c r="E18" s="13" t="s">
        <v>82</v>
      </c>
      <c r="F18" s="11"/>
      <c r="G18" s="11"/>
      <c r="H18" s="11"/>
      <c r="I18" s="11"/>
      <c r="J18" s="11"/>
      <c r="K18" s="11"/>
      <c r="L18" s="14" t="str">
        <f aca="false">IF(F18="","",4*F18-(4*G18+H18)-4*F18*Assumptions!$B$5)</f>
        <v/>
      </c>
      <c r="M18" s="14" t="str">
        <f aca="false">IF(F18="","",(Assumptions!$B$6+Assumptions!$B$7)*F18-((Assumptions!$B$6+Assumptions!$B$7)*G18+I18)-Assumptions!$B$7*K18-(Assumptions!$B$6+Assumptions!$B$7)*F18*Assumptions!$B$5)</f>
        <v/>
      </c>
      <c r="N18" s="14" t="str">
        <f aca="false">IF(F18="","",(Assumptions!$B$8+Assumptions!$B$9)*F18-((Assumptions!$B$8+Assumptions!$B$9)*G18+J18)-Assumptions!$B$9*K18-(Assumptions!$B$8+Assumptions!$B$9)*F18*Assumptions!$B$5)</f>
        <v/>
      </c>
      <c r="O18" s="14" t="str">
        <f aca="false">IF(L18="","",IF(L18&lt;0,"LOSS","OK"))</f>
        <v/>
      </c>
      <c r="P18" s="13" t="s">
        <v>83</v>
      </c>
    </row>
    <row r="19" customFormat="false" ht="15" hidden="false" customHeight="false" outlineLevel="0" collapsed="false">
      <c r="A19" s="13" t="n">
        <v>15</v>
      </c>
      <c r="B19" s="13" t="s">
        <v>84</v>
      </c>
      <c r="C19" s="13" t="s">
        <v>80</v>
      </c>
      <c r="D19" s="13" t="s">
        <v>81</v>
      </c>
      <c r="E19" s="13" t="s">
        <v>62</v>
      </c>
      <c r="F19" s="11"/>
      <c r="G19" s="11"/>
      <c r="H19" s="11"/>
      <c r="I19" s="11"/>
      <c r="J19" s="11"/>
      <c r="K19" s="11"/>
      <c r="L19" s="14" t="str">
        <f aca="false">IF(F19="","",4*F19-(4*G19+H19)-4*F19*Assumptions!$B$5)</f>
        <v/>
      </c>
      <c r="M19" s="14" t="str">
        <f aca="false">IF(F19="","",(Assumptions!$B$6+Assumptions!$B$7)*F19-((Assumptions!$B$6+Assumptions!$B$7)*G19+I19)-Assumptions!$B$7*K19-(Assumptions!$B$6+Assumptions!$B$7)*F19*Assumptions!$B$5)</f>
        <v/>
      </c>
      <c r="N19" s="14" t="str">
        <f aca="false">IF(F19="","",(Assumptions!$B$8+Assumptions!$B$9)*F19-((Assumptions!$B$8+Assumptions!$B$9)*G19+J19)-Assumptions!$B$9*K19-(Assumptions!$B$8+Assumptions!$B$9)*F19*Assumptions!$B$5)</f>
        <v/>
      </c>
      <c r="O19" s="14" t="str">
        <f aca="false">IF(L19="","",IF(L19&lt;0,"LOSS","OK"))</f>
        <v/>
      </c>
      <c r="P19" s="13"/>
    </row>
    <row r="20" customFormat="false" ht="15" hidden="false" customHeight="false" outlineLevel="0" collapsed="false">
      <c r="A20" s="13" t="n">
        <v>16</v>
      </c>
      <c r="B20" s="13" t="s">
        <v>85</v>
      </c>
      <c r="C20" s="13" t="s">
        <v>80</v>
      </c>
      <c r="D20" s="13" t="s">
        <v>86</v>
      </c>
      <c r="E20" s="13" t="s">
        <v>62</v>
      </c>
      <c r="F20" s="11"/>
      <c r="G20" s="11"/>
      <c r="H20" s="11"/>
      <c r="I20" s="11"/>
      <c r="J20" s="11"/>
      <c r="K20" s="11"/>
      <c r="L20" s="14" t="str">
        <f aca="false">IF(F20="","",4*F20-(4*G20+H20)-4*F20*Assumptions!$B$5)</f>
        <v/>
      </c>
      <c r="M20" s="14" t="str">
        <f aca="false">IF(F20="","",(Assumptions!$B$6+Assumptions!$B$7)*F20-((Assumptions!$B$6+Assumptions!$B$7)*G20+I20)-Assumptions!$B$7*K20-(Assumptions!$B$6+Assumptions!$B$7)*F20*Assumptions!$B$5)</f>
        <v/>
      </c>
      <c r="N20" s="14" t="str">
        <f aca="false">IF(F20="","",(Assumptions!$B$8+Assumptions!$B$9)*F20-((Assumptions!$B$8+Assumptions!$B$9)*G20+J20)-Assumptions!$B$9*K20-(Assumptions!$B$8+Assumptions!$B$9)*F20*Assumptions!$B$5)</f>
        <v/>
      </c>
      <c r="O20" s="14" t="str">
        <f aca="false">IF(L20="","",IF(L20&lt;0,"LOSS","OK"))</f>
        <v/>
      </c>
      <c r="P2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7" min="5" style="0" width="12"/>
    <col collapsed="false" customWidth="true" hidden="false" outlineLevel="0" max="9" min="8" style="0" width="14"/>
    <col collapsed="false" customWidth="true" hidden="false" outlineLevel="0" max="13" min="10" style="0" width="12"/>
    <col collapsed="false" customWidth="true" hidden="false" outlineLevel="0" max="15" min="14" style="0" width="16"/>
    <col collapsed="false" customWidth="true" hidden="false" outlineLevel="0" max="16" min="16" style="0" width="14"/>
    <col collapsed="false" customWidth="true" hidden="false" outlineLevel="0" max="17" min="17" style="0" width="20"/>
    <col collapsed="false" customWidth="true" hidden="false" outlineLevel="0" max="18" min="18" style="0" width="34"/>
  </cols>
  <sheetData>
    <row r="1" customFormat="false" ht="17.35" hidden="false" customHeight="false" outlineLevel="0" collapsed="false">
      <c r="A1" s="4" t="s">
        <v>87</v>
      </c>
    </row>
    <row r="3" customFormat="false" ht="60" hidden="false" customHeight="true" outlineLevel="0" collapsed="false">
      <c r="A3" s="9" t="s">
        <v>33</v>
      </c>
      <c r="B3" s="9" t="s">
        <v>34</v>
      </c>
      <c r="C3" s="9" t="s">
        <v>35</v>
      </c>
      <c r="D3" s="9" t="s">
        <v>88</v>
      </c>
      <c r="E3" s="9" t="s">
        <v>89</v>
      </c>
      <c r="F3" s="9" t="s">
        <v>90</v>
      </c>
      <c r="G3" s="9" t="s">
        <v>91</v>
      </c>
      <c r="H3" s="9" t="s">
        <v>92</v>
      </c>
      <c r="I3" s="9" t="s">
        <v>93</v>
      </c>
      <c r="J3" s="9" t="s">
        <v>40</v>
      </c>
      <c r="K3" s="9" t="s">
        <v>41</v>
      </c>
      <c r="L3" s="9" t="s">
        <v>42</v>
      </c>
      <c r="M3" s="9" t="s">
        <v>43</v>
      </c>
      <c r="N3" s="9" t="s">
        <v>94</v>
      </c>
      <c r="O3" s="9" t="s">
        <v>95</v>
      </c>
      <c r="P3" s="9" t="s">
        <v>96</v>
      </c>
      <c r="Q3" s="9" t="s">
        <v>47</v>
      </c>
      <c r="R3" s="9" t="s">
        <v>48</v>
      </c>
    </row>
    <row r="4" customFormat="false" ht="15" hidden="false" customHeight="false" outlineLevel="0" collapsed="false">
      <c r="A4" s="10" t="s">
        <v>49</v>
      </c>
      <c r="B4" s="10" t="s">
        <v>50</v>
      </c>
      <c r="C4" s="10" t="s">
        <v>97</v>
      </c>
      <c r="D4" s="10" t="s">
        <v>98</v>
      </c>
      <c r="E4" s="11" t="n">
        <v>21</v>
      </c>
      <c r="F4" s="11" t="n">
        <v>900</v>
      </c>
      <c r="G4" s="11" t="n">
        <v>180</v>
      </c>
      <c r="H4" s="11" t="n">
        <v>700</v>
      </c>
      <c r="I4" s="11" t="n">
        <v>600</v>
      </c>
      <c r="J4" s="11" t="n">
        <v>120</v>
      </c>
      <c r="K4" s="11" t="n">
        <v>160</v>
      </c>
      <c r="L4" s="11" t="n">
        <v>200</v>
      </c>
      <c r="M4" s="11" t="n">
        <v>60</v>
      </c>
      <c r="N4" s="12" t="n">
        <f aca="false">IF(F4="","",4*F4-(4*G4+2*H4+J4)-4*F4*Assumptions!$B$5)</f>
        <v>1252</v>
      </c>
      <c r="O4" s="12" t="n">
        <f aca="false">IF(F4="","",4*F4-(4*G4+1*H4+2*I4+J4)-4*F4*Assumptions!$B$5)</f>
        <v>752</v>
      </c>
      <c r="P4" s="12" t="n">
        <f aca="false">IF(F4="","",N4-O4)</f>
        <v>500</v>
      </c>
      <c r="Q4" s="12" t="str">
        <f aca="false">IF(N4="","",IF(O4&lt;0,"LOSS if solos unpaired",IF(N4&lt;0,"LOSS","OK")))</f>
        <v>OK</v>
      </c>
      <c r="R4" s="10" t="s">
        <v>54</v>
      </c>
    </row>
    <row r="5" customFormat="false" ht="15" hidden="false" customHeight="false" outlineLevel="0" collapsed="false">
      <c r="A5" s="13" t="n">
        <v>17</v>
      </c>
      <c r="B5" s="13" t="s">
        <v>99</v>
      </c>
      <c r="C5" s="13" t="s">
        <v>97</v>
      </c>
      <c r="D5" s="13" t="s">
        <v>98</v>
      </c>
      <c r="E5" s="11"/>
      <c r="F5" s="11"/>
      <c r="G5" s="11"/>
      <c r="H5" s="11"/>
      <c r="I5" s="11"/>
      <c r="J5" s="11"/>
      <c r="K5" s="11"/>
      <c r="L5" s="11"/>
      <c r="M5" s="11"/>
      <c r="N5" s="14" t="str">
        <f aca="false">IF(F5="","",4*F5-(4*G5+2*H5+J5)-4*F5*Assumptions!$B$5)</f>
        <v/>
      </c>
      <c r="O5" s="14" t="str">
        <f aca="false">IF(F5="","",4*F5-(4*G5+1*H5+2*I5+J5)-4*F5*Assumptions!$B$5)</f>
        <v/>
      </c>
      <c r="P5" s="14" t="str">
        <f aca="false">IF(F5="","",N5-O5)</f>
        <v/>
      </c>
      <c r="Q5" s="14" t="str">
        <f aca="false">IF(N5="","",IF(O5&lt;0,"LOSS if solos unpaired",IF(N5&lt;0,"LOSS","OK")))</f>
        <v/>
      </c>
      <c r="R5" s="13"/>
    </row>
    <row r="6" customFormat="false" ht="15" hidden="false" customHeight="false" outlineLevel="0" collapsed="false">
      <c r="A6" s="13" t="n">
        <v>18</v>
      </c>
      <c r="B6" s="13" t="s">
        <v>100</v>
      </c>
      <c r="C6" s="13" t="s">
        <v>97</v>
      </c>
      <c r="D6" s="13" t="s">
        <v>98</v>
      </c>
      <c r="E6" s="11"/>
      <c r="F6" s="11"/>
      <c r="G6" s="11"/>
      <c r="H6" s="11"/>
      <c r="I6" s="11"/>
      <c r="J6" s="11"/>
      <c r="K6" s="11"/>
      <c r="L6" s="11"/>
      <c r="M6" s="11"/>
      <c r="N6" s="14" t="str">
        <f aca="false">IF(F6="","",4*F6-(4*G6+2*H6+J6)-4*F6*Assumptions!$B$5)</f>
        <v/>
      </c>
      <c r="O6" s="14" t="str">
        <f aca="false">IF(F6="","",4*F6-(4*G6+1*H6+2*I6+J6)-4*F6*Assumptions!$B$5)</f>
        <v/>
      </c>
      <c r="P6" s="14" t="str">
        <f aca="false">IF(F6="","",N6-O6)</f>
        <v/>
      </c>
      <c r="Q6" s="14" t="str">
        <f aca="false">IF(N6="","",IF(O6&lt;0,"LOSS if solos unpaired",IF(N6&lt;0,"LOSS","OK")))</f>
        <v/>
      </c>
      <c r="R6" s="13"/>
    </row>
    <row r="7" customFormat="false" ht="15" hidden="false" customHeight="false" outlineLevel="0" collapsed="false">
      <c r="A7" s="13" t="n">
        <v>19</v>
      </c>
      <c r="B7" s="13" t="s">
        <v>101</v>
      </c>
      <c r="C7" s="13" t="s">
        <v>102</v>
      </c>
      <c r="D7" s="13" t="s">
        <v>66</v>
      </c>
      <c r="E7" s="11"/>
      <c r="F7" s="11"/>
      <c r="G7" s="11"/>
      <c r="H7" s="11"/>
      <c r="I7" s="11"/>
      <c r="J7" s="11"/>
      <c r="K7" s="11"/>
      <c r="L7" s="11"/>
      <c r="M7" s="11"/>
      <c r="N7" s="14" t="str">
        <f aca="false">IF(F7="","",4*F7-(4*G7+2*H7+J7)-4*F7*Assumptions!$B$5)</f>
        <v/>
      </c>
      <c r="O7" s="14" t="str">
        <f aca="false">IF(F7="","",4*F7-(4*G7+1*H7+2*I7+J7)-4*F7*Assumptions!$B$5)</f>
        <v/>
      </c>
      <c r="P7" s="14" t="str">
        <f aca="false">IF(F7="","",N7-O7)</f>
        <v/>
      </c>
      <c r="Q7" s="14" t="str">
        <f aca="false">IF(N7="","",IF(O7&lt;0,"LOSS if solos unpaired",IF(N7&lt;0,"LOSS","OK")))</f>
        <v/>
      </c>
      <c r="R7" s="13"/>
    </row>
    <row r="8" customFormat="false" ht="15" hidden="false" customHeight="false" outlineLevel="0" collapsed="false">
      <c r="A8" s="13" t="n">
        <v>20</v>
      </c>
      <c r="B8" s="13" t="s">
        <v>103</v>
      </c>
      <c r="C8" s="13" t="s">
        <v>102</v>
      </c>
      <c r="D8" s="13" t="s">
        <v>104</v>
      </c>
      <c r="E8" s="11"/>
      <c r="F8" s="11"/>
      <c r="G8" s="11"/>
      <c r="H8" s="11"/>
      <c r="I8" s="11"/>
      <c r="J8" s="11"/>
      <c r="K8" s="11"/>
      <c r="L8" s="11"/>
      <c r="M8" s="11"/>
      <c r="N8" s="14" t="str">
        <f aca="false">IF(F8="","",4*F8-(4*G8+2*H8+J8)-4*F8*Assumptions!$B$5)</f>
        <v/>
      </c>
      <c r="O8" s="14" t="str">
        <f aca="false">IF(F8="","",4*F8-(4*G8+1*H8+2*I8+J8)-4*F8*Assumptions!$B$5)</f>
        <v/>
      </c>
      <c r="P8" s="14" t="str">
        <f aca="false">IF(F8="","",N8-O8)</f>
        <v/>
      </c>
      <c r="Q8" s="14" t="str">
        <f aca="false">IF(N8="","",IF(O8&lt;0,"LOSS if solos unpaired",IF(N8&lt;0,"LOSS","OK")))</f>
        <v/>
      </c>
      <c r="R8" s="13"/>
    </row>
    <row r="9" customFormat="false" ht="15" hidden="false" customHeight="false" outlineLevel="0" collapsed="false">
      <c r="A9" s="13" t="n">
        <v>21</v>
      </c>
      <c r="B9" s="13" t="s">
        <v>105</v>
      </c>
      <c r="C9" s="13" t="s">
        <v>102</v>
      </c>
      <c r="D9" s="13" t="s">
        <v>104</v>
      </c>
      <c r="E9" s="11"/>
      <c r="F9" s="11"/>
      <c r="G9" s="11"/>
      <c r="H9" s="11"/>
      <c r="I9" s="11"/>
      <c r="J9" s="11"/>
      <c r="K9" s="11"/>
      <c r="L9" s="11"/>
      <c r="M9" s="11"/>
      <c r="N9" s="14" t="str">
        <f aca="false">IF(F9="","",4*F9-(4*G9+2*H9+J9)-4*F9*Assumptions!$B$5)</f>
        <v/>
      </c>
      <c r="O9" s="14" t="str">
        <f aca="false">IF(F9="","",4*F9-(4*G9+1*H9+2*I9+J9)-4*F9*Assumptions!$B$5)</f>
        <v/>
      </c>
      <c r="P9" s="14" t="str">
        <f aca="false">IF(F9="","",N9-O9)</f>
        <v/>
      </c>
      <c r="Q9" s="14" t="str">
        <f aca="false">IF(N9="","",IF(O9&lt;0,"LOSS if solos unpaired",IF(N9&lt;0,"LOSS","OK")))</f>
        <v/>
      </c>
      <c r="R9" s="13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6"/>
    <col collapsed="false" customWidth="true" hidden="false" outlineLevel="0" max="9" min="3" style="0" width="9"/>
  </cols>
  <sheetData>
    <row r="1" customFormat="false" ht="17.35" hidden="false" customHeight="false" outlineLevel="0" collapsed="false">
      <c r="A1" s="4" t="s">
        <v>107</v>
      </c>
    </row>
    <row r="2" customFormat="false" ht="15" hidden="false" customHeight="false" outlineLevel="0" collapsed="false">
      <c r="A2" s="6" t="s">
        <v>108</v>
      </c>
    </row>
    <row r="4" customFormat="false" ht="15" hidden="false" customHeight="false" outlineLevel="0" collapsed="false">
      <c r="A4" s="15" t="s">
        <v>33</v>
      </c>
      <c r="B4" s="15" t="s">
        <v>34</v>
      </c>
      <c r="C4" s="15" t="s">
        <v>109</v>
      </c>
      <c r="D4" s="15" t="s">
        <v>110</v>
      </c>
      <c r="E4" s="15" t="s">
        <v>111</v>
      </c>
      <c r="F4" s="15" t="s">
        <v>112</v>
      </c>
      <c r="G4" s="15" t="s">
        <v>113</v>
      </c>
      <c r="H4" s="15" t="s">
        <v>114</v>
      </c>
      <c r="I4" s="15" t="s">
        <v>115</v>
      </c>
    </row>
    <row r="5" customFormat="false" ht="15" hidden="false" customHeight="false" outlineLevel="0" collapsed="false">
      <c r="A5" s="6" t="n">
        <v>1</v>
      </c>
      <c r="B5" s="6" t="s">
        <v>55</v>
      </c>
      <c r="C5" s="16"/>
      <c r="D5" s="16"/>
      <c r="E5" s="16"/>
      <c r="F5" s="16"/>
      <c r="G5" s="16"/>
      <c r="H5" s="16"/>
      <c r="I5" s="16"/>
    </row>
    <row r="6" customFormat="false" ht="15" hidden="false" customHeight="false" outlineLevel="0" collapsed="false">
      <c r="A6" s="6" t="n">
        <v>2</v>
      </c>
      <c r="B6" s="6" t="s">
        <v>57</v>
      </c>
      <c r="C6" s="16"/>
      <c r="D6" s="16"/>
      <c r="E6" s="16"/>
      <c r="F6" s="16"/>
      <c r="G6" s="16"/>
      <c r="H6" s="16"/>
      <c r="I6" s="16"/>
    </row>
    <row r="7" customFormat="false" ht="15" hidden="false" customHeight="false" outlineLevel="0" collapsed="false">
      <c r="A7" s="6" t="n">
        <v>3</v>
      </c>
      <c r="B7" s="6" t="s">
        <v>60</v>
      </c>
      <c r="C7" s="16"/>
      <c r="D7" s="16"/>
      <c r="E7" s="16"/>
      <c r="F7" s="16"/>
      <c r="G7" s="16"/>
      <c r="H7" s="16"/>
      <c r="I7" s="16"/>
    </row>
    <row r="8" customFormat="false" ht="15" hidden="false" customHeight="false" outlineLevel="0" collapsed="false">
      <c r="A8" s="6" t="n">
        <v>4</v>
      </c>
      <c r="B8" s="6" t="s">
        <v>61</v>
      </c>
      <c r="C8" s="16"/>
      <c r="D8" s="16"/>
      <c r="E8" s="16"/>
      <c r="F8" s="16"/>
      <c r="G8" s="16"/>
      <c r="H8" s="16"/>
      <c r="I8" s="16"/>
    </row>
    <row r="9" customFormat="false" ht="15" hidden="false" customHeight="false" outlineLevel="0" collapsed="false">
      <c r="A9" s="6" t="n">
        <v>5</v>
      </c>
      <c r="B9" s="6" t="s">
        <v>63</v>
      </c>
      <c r="C9" s="16"/>
      <c r="D9" s="16"/>
      <c r="E9" s="16"/>
      <c r="F9" s="16"/>
      <c r="G9" s="16"/>
      <c r="H9" s="16"/>
      <c r="I9" s="16"/>
    </row>
    <row r="10" customFormat="false" ht="15" hidden="false" customHeight="false" outlineLevel="0" collapsed="false">
      <c r="A10" s="6" t="n">
        <v>6</v>
      </c>
      <c r="B10" s="6" t="s">
        <v>65</v>
      </c>
      <c r="C10" s="16"/>
      <c r="D10" s="16"/>
      <c r="E10" s="16"/>
      <c r="F10" s="16"/>
      <c r="G10" s="16"/>
      <c r="H10" s="16"/>
      <c r="I10" s="16"/>
    </row>
    <row r="11" customFormat="false" ht="15" hidden="false" customHeight="false" outlineLevel="0" collapsed="false">
      <c r="A11" s="6" t="n">
        <v>7</v>
      </c>
      <c r="B11" s="6" t="s">
        <v>67</v>
      </c>
      <c r="C11" s="16"/>
      <c r="D11" s="16"/>
      <c r="E11" s="16"/>
      <c r="F11" s="16"/>
      <c r="G11" s="16"/>
      <c r="H11" s="16"/>
      <c r="I11" s="16"/>
    </row>
    <row r="12" customFormat="false" ht="15" hidden="false" customHeight="false" outlineLevel="0" collapsed="false">
      <c r="A12" s="6" t="n">
        <v>8</v>
      </c>
      <c r="B12" s="6" t="s">
        <v>69</v>
      </c>
      <c r="C12" s="16"/>
      <c r="D12" s="16"/>
      <c r="E12" s="16"/>
      <c r="F12" s="16"/>
      <c r="G12" s="16"/>
      <c r="H12" s="16"/>
      <c r="I12" s="16"/>
    </row>
    <row r="13" customFormat="false" ht="15" hidden="false" customHeight="false" outlineLevel="0" collapsed="false">
      <c r="A13" s="6" t="n">
        <v>9</v>
      </c>
      <c r="B13" s="6" t="s">
        <v>72</v>
      </c>
      <c r="C13" s="16"/>
      <c r="D13" s="16"/>
      <c r="E13" s="16"/>
      <c r="F13" s="16"/>
      <c r="G13" s="16"/>
      <c r="H13" s="16"/>
      <c r="I13" s="16"/>
    </row>
    <row r="14" customFormat="false" ht="15" hidden="false" customHeight="false" outlineLevel="0" collapsed="false">
      <c r="A14" s="6" t="n">
        <v>10</v>
      </c>
      <c r="B14" s="6" t="s">
        <v>74</v>
      </c>
      <c r="C14" s="16"/>
      <c r="D14" s="16"/>
      <c r="E14" s="16"/>
      <c r="F14" s="16"/>
      <c r="G14" s="16"/>
      <c r="H14" s="16"/>
      <c r="I14" s="16"/>
    </row>
    <row r="15" customFormat="false" ht="15" hidden="false" customHeight="false" outlineLevel="0" collapsed="false">
      <c r="A15" s="6" t="n">
        <v>11</v>
      </c>
      <c r="B15" s="6" t="s">
        <v>75</v>
      </c>
      <c r="C15" s="16"/>
      <c r="D15" s="16"/>
      <c r="E15" s="16"/>
      <c r="F15" s="16"/>
      <c r="G15" s="16"/>
      <c r="H15" s="16"/>
      <c r="I15" s="16"/>
    </row>
    <row r="16" customFormat="false" ht="15" hidden="false" customHeight="false" outlineLevel="0" collapsed="false">
      <c r="A16" s="6" t="n">
        <v>12</v>
      </c>
      <c r="B16" s="6" t="s">
        <v>76</v>
      </c>
      <c r="C16" s="16"/>
      <c r="D16" s="16"/>
      <c r="E16" s="16"/>
      <c r="F16" s="16"/>
      <c r="G16" s="16"/>
      <c r="H16" s="16"/>
      <c r="I16" s="16"/>
    </row>
    <row r="17" customFormat="false" ht="15" hidden="false" customHeight="false" outlineLevel="0" collapsed="false">
      <c r="A17" s="6" t="n">
        <v>13</v>
      </c>
      <c r="B17" s="6" t="s">
        <v>77</v>
      </c>
      <c r="C17" s="16"/>
      <c r="D17" s="16"/>
      <c r="E17" s="16"/>
      <c r="F17" s="16"/>
      <c r="G17" s="16"/>
      <c r="H17" s="16"/>
      <c r="I17" s="16"/>
    </row>
    <row r="18" customFormat="false" ht="15" hidden="false" customHeight="false" outlineLevel="0" collapsed="false">
      <c r="A18" s="6" t="n">
        <v>14</v>
      </c>
      <c r="B18" s="6" t="s">
        <v>79</v>
      </c>
      <c r="C18" s="16"/>
      <c r="D18" s="16"/>
      <c r="E18" s="16"/>
      <c r="F18" s="16"/>
      <c r="G18" s="16"/>
      <c r="H18" s="16"/>
      <c r="I18" s="16"/>
    </row>
    <row r="19" customFormat="false" ht="15" hidden="false" customHeight="false" outlineLevel="0" collapsed="false">
      <c r="A19" s="6" t="n">
        <v>15</v>
      </c>
      <c r="B19" s="6" t="s">
        <v>84</v>
      </c>
      <c r="C19" s="16"/>
      <c r="D19" s="16"/>
      <c r="E19" s="16"/>
      <c r="F19" s="16"/>
      <c r="G19" s="16"/>
      <c r="H19" s="16"/>
      <c r="I19" s="16"/>
    </row>
    <row r="20" customFormat="false" ht="15" hidden="false" customHeight="false" outlineLevel="0" collapsed="false">
      <c r="A20" s="6" t="n">
        <v>16</v>
      </c>
      <c r="B20" s="6" t="s">
        <v>85</v>
      </c>
      <c r="C20" s="16"/>
      <c r="D20" s="16"/>
      <c r="E20" s="16"/>
      <c r="F20" s="16"/>
      <c r="G20" s="16"/>
      <c r="H20" s="16"/>
      <c r="I20" s="16"/>
    </row>
    <row r="21" customFormat="false" ht="15" hidden="false" customHeight="false" outlineLevel="0" collapsed="false">
      <c r="A21" s="6" t="n">
        <v>17</v>
      </c>
      <c r="B21" s="6" t="s">
        <v>99</v>
      </c>
      <c r="C21" s="16"/>
      <c r="D21" s="16"/>
      <c r="E21" s="16"/>
      <c r="F21" s="16"/>
      <c r="G21" s="16"/>
      <c r="H21" s="16"/>
      <c r="I21" s="16"/>
    </row>
    <row r="22" customFormat="false" ht="15" hidden="false" customHeight="false" outlineLevel="0" collapsed="false">
      <c r="A22" s="6" t="n">
        <v>18</v>
      </c>
      <c r="B22" s="6" t="s">
        <v>100</v>
      </c>
      <c r="C22" s="16"/>
      <c r="D22" s="16"/>
      <c r="E22" s="16"/>
      <c r="F22" s="16"/>
      <c r="G22" s="16"/>
      <c r="H22" s="16"/>
      <c r="I22" s="16"/>
    </row>
    <row r="23" customFormat="false" ht="15" hidden="false" customHeight="false" outlineLevel="0" collapsed="false">
      <c r="A23" s="6" t="n">
        <v>19</v>
      </c>
      <c r="B23" s="6" t="s">
        <v>101</v>
      </c>
      <c r="C23" s="16"/>
      <c r="D23" s="16"/>
      <c r="E23" s="16"/>
      <c r="F23" s="16"/>
      <c r="G23" s="16"/>
      <c r="H23" s="16"/>
      <c r="I23" s="16"/>
    </row>
    <row r="24" customFormat="false" ht="15" hidden="false" customHeight="false" outlineLevel="0" collapsed="false">
      <c r="A24" s="6" t="n">
        <v>20</v>
      </c>
      <c r="B24" s="6" t="s">
        <v>103</v>
      </c>
      <c r="C24" s="16"/>
      <c r="D24" s="16"/>
      <c r="E24" s="16"/>
      <c r="F24" s="16"/>
      <c r="G24" s="16"/>
      <c r="H24" s="16"/>
      <c r="I24" s="16"/>
    </row>
    <row r="25" customFormat="false" ht="15" hidden="false" customHeight="false" outlineLevel="0" collapsed="false">
      <c r="A25" s="6" t="n">
        <v>21</v>
      </c>
      <c r="B25" s="6" t="s">
        <v>105</v>
      </c>
      <c r="C25" s="16"/>
      <c r="D25" s="16"/>
      <c r="E25" s="16"/>
      <c r="F25" s="16"/>
      <c r="G25" s="16"/>
      <c r="H25" s="16"/>
      <c r="I25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2026-09-26T19:41:36Z</dcterms:created>
  <dc:creator>openpyxl</dc:creator>
  <dc:description/>
  <dc:language>en-US</dc:language>
  <cp:lastModifiedBy/>
  <dcterms:modified xsi:type="dcterms:W3CDTF">2026-09-26T19:41:36Z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